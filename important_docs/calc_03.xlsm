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Sergei\Dropbox\Work\EgrixCalc\ExcelCalc\"/>
    </mc:Choice>
  </mc:AlternateContent>
  <bookViews>
    <workbookView xWindow="240" yWindow="120" windowWidth="19980" windowHeight="8070"/>
  </bookViews>
  <sheets>
    <sheet name="Лист1" sheetId="1" r:id="rId1"/>
    <sheet name="Лист2" sheetId="2" r:id="rId2"/>
    <sheet name="Лист3" sheetId="3" r:id="rId3"/>
  </sheets>
  <functionGroups builtInGroupCount="18"/>
  <definedNames>
    <definedName name="a">Лист1!$E$1</definedName>
    <definedName name="accu">Лист1!$U$1</definedName>
    <definedName name="b">Лист1!$J$2</definedName>
    <definedName name="C0">Лист1!$E$2</definedName>
    <definedName name="d">Лист1!$I$19</definedName>
    <definedName name="effi">Лист1!$I$68</definedName>
    <definedName name="flagB">Лист1!$P$2</definedName>
    <definedName name="flagDut">Лист1!$M$1</definedName>
    <definedName name="flagFrLoss">Лист1!$L$47</definedName>
    <definedName name="flagI">Лист1!$P$1</definedName>
    <definedName name="flagPP">Лист1!$S$2</definedName>
    <definedName name="flagThermo">Лист1!$M$2</definedName>
    <definedName name="h_0">Лист1!$I$48</definedName>
    <definedName name="i">Лист1!$J$1</definedName>
    <definedName name="k">Лист1!$I$62</definedName>
    <definedName name="marg_sr">Лист1!$C$68</definedName>
    <definedName name="prob">Лист1!$E$6</definedName>
    <definedName name="q_0">Лист1!$I$15</definedName>
    <definedName name="q_1">Лист1!$I$23</definedName>
    <definedName name="r_0">Лист1!$I$30</definedName>
    <definedName name="r_1">Лист1!$I$36</definedName>
    <definedName name="rash_sr">Лист1!$C$65</definedName>
    <definedName name="recoupment_in_month">Лист1!$G$80</definedName>
    <definedName name="s_0">Лист1!$I$42</definedName>
    <definedName name="srok">Лист1!$E$9</definedName>
    <definedName name="x_k">Лист1!$E$4</definedName>
    <definedName name="z_0">Лист1!$I$55</definedName>
  </definedNames>
  <calcPr calcId="162913"/>
</workbook>
</file>

<file path=xl/calcChain.xml><?xml version="1.0" encoding="utf-8"?>
<calcChain xmlns="http://schemas.openxmlformats.org/spreadsheetml/2006/main">
  <c r="E58" i="1" l="1"/>
  <c r="L46" i="1"/>
  <c r="E46" i="1"/>
  <c r="I48" i="1"/>
  <c r="E34" i="1"/>
  <c r="E29" i="1"/>
  <c r="I30" i="1"/>
  <c r="E40" i="1"/>
  <c r="I41" i="1"/>
  <c r="I8" i="1"/>
  <c r="I9" i="1"/>
  <c r="E9" i="1"/>
  <c r="L34" i="1"/>
  <c r="L35" i="1"/>
  <c r="L29" i="1"/>
  <c r="E25" i="1"/>
  <c r="I23" i="1"/>
  <c r="I19" i="1"/>
  <c r="E14" i="1"/>
  <c r="I15" i="1"/>
  <c r="I14" i="1"/>
  <c r="E8" i="1"/>
  <c r="E7" i="1"/>
  <c r="E5" i="1"/>
  <c r="E2" i="1"/>
  <c r="I4" i="1"/>
  <c r="E4" i="1"/>
  <c r="I36" i="1"/>
  <c r="E23" i="1"/>
  <c r="I31" i="1" l="1"/>
  <c r="J2" i="1"/>
  <c r="J1" i="1"/>
  <c r="F36" i="1" l="1"/>
  <c r="I52" i="1"/>
  <c r="I62" i="1"/>
  <c r="F34" i="1"/>
  <c r="J23" i="1"/>
  <c r="F23" i="1" s="1"/>
  <c r="I7" i="1"/>
  <c r="J5" i="1"/>
  <c r="J4" i="1"/>
  <c r="I13" i="1"/>
  <c r="E13" i="1" s="1"/>
  <c r="J13" i="1"/>
  <c r="F13" i="1" s="1"/>
  <c r="J9" i="1"/>
  <c r="J8" i="1"/>
  <c r="J7" i="1"/>
  <c r="J6" i="1"/>
  <c r="L8" i="1"/>
  <c r="I58" i="1"/>
  <c r="I42" i="1" l="1"/>
  <c r="I43" i="1" s="1"/>
  <c r="E62" i="1"/>
  <c r="F25" i="1"/>
  <c r="E51" i="1"/>
  <c r="I63" i="1"/>
  <c r="E19" i="1"/>
  <c r="I55" i="1" l="1"/>
  <c r="I56" i="1" s="1"/>
  <c r="G74" i="1"/>
  <c r="G77" i="1" s="1"/>
  <c r="I20" i="1"/>
  <c r="I37" i="1"/>
  <c r="I16" i="1"/>
  <c r="I24" i="1"/>
  <c r="E55" i="1" l="1"/>
  <c r="I49" i="1"/>
  <c r="E36" i="1"/>
  <c r="E65" i="1" l="1"/>
  <c r="C65" i="1" s="1"/>
  <c r="E68" i="1" l="1"/>
  <c r="G80" i="1" s="1"/>
  <c r="I68" i="1"/>
  <c r="C68" i="1" l="1"/>
</calcChain>
</file>

<file path=xl/sharedStrings.xml><?xml version="1.0" encoding="utf-8"?>
<sst xmlns="http://schemas.openxmlformats.org/spreadsheetml/2006/main" count="192" uniqueCount="143">
  <si>
    <t xml:space="preserve">степень износа при списании </t>
  </si>
  <si>
    <t>потеря в цене при списании</t>
  </si>
  <si>
    <t>пробег при списании</t>
  </si>
  <si>
    <t>единица измерения</t>
  </si>
  <si>
    <t>км</t>
  </si>
  <si>
    <t>руб</t>
  </si>
  <si>
    <t>долей</t>
  </si>
  <si>
    <t>ч</t>
  </si>
  <si>
    <t>дней</t>
  </si>
  <si>
    <t>часов в день</t>
  </si>
  <si>
    <t>лет</t>
  </si>
  <si>
    <t>часов в год</t>
  </si>
  <si>
    <t>наработка в часах</t>
  </si>
  <si>
    <t>срок службы в днях</t>
  </si>
  <si>
    <t>срок службы в годах</t>
  </si>
  <si>
    <t>Расход безниза</t>
  </si>
  <si>
    <t>за срок службы</t>
  </si>
  <si>
    <t>без учета деградации двигателя</t>
  </si>
  <si>
    <t>прибавка за счет деградации двигателя к концу срока службы</t>
  </si>
  <si>
    <t>с учетом деградации двигателя</t>
  </si>
  <si>
    <t>расход на новой машине</t>
  </si>
  <si>
    <t>Миша: от 15% до 30%</t>
  </si>
  <si>
    <t>Источник информации</t>
  </si>
  <si>
    <t>Миша: вероятность разрушения двигателя при пробеге от 400 до 600 тысяч составляет 95%</t>
  </si>
  <si>
    <t>из головы: 50 км/ч</t>
  </si>
  <si>
    <t>опрос: http://mazda-xedos.ru/kakov-u-vas-srednij-rashod-benzina-na-100km-vt14.html</t>
  </si>
  <si>
    <t>дней в год</t>
  </si>
  <si>
    <t>из головы: мотор работает меньше, чем длится рабочий день</t>
  </si>
  <si>
    <t>(1 - средний водитель)</t>
  </si>
  <si>
    <t>Характеристики машин</t>
  </si>
  <si>
    <t>коэффициент перевода из км в другие единицы</t>
  </si>
  <si>
    <t>стоимоть топлива</t>
  </si>
  <si>
    <t>л</t>
  </si>
  <si>
    <t>=x_k</t>
  </si>
  <si>
    <t>=C0</t>
  </si>
  <si>
    <t>на 1 км</t>
  </si>
  <si>
    <t>обозначение</t>
  </si>
  <si>
    <r>
      <t xml:space="preserve">коэфф-т неаккуратности </t>
    </r>
    <r>
      <rPr>
        <sz val="11"/>
        <color theme="0" tint="-0.34998626667073579"/>
        <rFont val="Calibri"/>
        <family val="2"/>
        <charset val="204"/>
        <scheme val="minor"/>
      </rPr>
      <t>a</t>
    </r>
  </si>
  <si>
    <t>(1993</t>
  </si>
  <si>
    <t>производстенный календарь: 1993 рабочих часа в году)</t>
  </si>
  <si>
    <t>средняя скорость</t>
  </si>
  <si>
    <t>=q_1</t>
  </si>
  <si>
    <t>=q_0</t>
  </si>
  <si>
    <t>=a*q_0*x_k</t>
  </si>
  <si>
    <t>=C0*x_k</t>
  </si>
  <si>
    <t>себестоимость машины</t>
  </si>
  <si>
    <t>просто из головы. Ниакой оптимизации пока</t>
  </si>
  <si>
    <t>прибавка</t>
  </si>
  <si>
    <t>сумма</t>
  </si>
  <si>
    <t>Риск поломки или ДТП</t>
  </si>
  <si>
    <t>на</t>
  </si>
  <si>
    <t>км в год</t>
  </si>
  <si>
    <t>коэффициент к концу срока службы</t>
  </si>
  <si>
    <t>Риск поломки на последних сотнях тысяч киломтеров</t>
  </si>
  <si>
    <t>Пропорции для вычисления x_600, x_400</t>
  </si>
  <si>
    <t>=x_600</t>
  </si>
  <si>
    <t>=x_400</t>
  </si>
  <si>
    <t>вероятность поломки</t>
  </si>
  <si>
    <t>Миша: машину обычно списывают на 500 000</t>
  </si>
  <si>
    <t>=r_1</t>
  </si>
  <si>
    <t>Сервис</t>
  </si>
  <si>
    <t>Миша: 5% цены в год уходит на сервис</t>
  </si>
  <si>
    <t>Доля цены авто, уходящая на сервис за 1 год</t>
  </si>
  <si>
    <t>руб на км</t>
  </si>
  <si>
    <t/>
  </si>
  <si>
    <t>=r_0</t>
  </si>
  <si>
    <t>=a*r_0*x_k</t>
  </si>
  <si>
    <t>руб на срок службы</t>
  </si>
  <si>
    <t>=s_0</t>
  </si>
  <si>
    <t>Зарплата водителя</t>
  </si>
  <si>
    <t>=z_0</t>
  </si>
  <si>
    <t>Месечный оклад водителя</t>
  </si>
  <si>
    <t>руб в мес</t>
  </si>
  <si>
    <t>долей С0 в год</t>
  </si>
  <si>
    <t>руб в год</t>
  </si>
  <si>
    <t>руб за срок службы</t>
  </si>
  <si>
    <t>коэфф-т простоев</t>
  </si>
  <si>
    <t>коэфф-т "левых" ходок</t>
  </si>
  <si>
    <t>=i</t>
  </si>
  <si>
    <t>=b</t>
  </si>
  <si>
    <t>=a*s_0*x_k</t>
  </si>
  <si>
    <t>долей расхода на 1 км</t>
  </si>
  <si>
    <t>рублей за полный пробег</t>
  </si>
  <si>
    <t>Доходы от продажи работы машины</t>
  </si>
  <si>
    <t>стоимость тонно-километра</t>
  </si>
  <si>
    <t>грузоподъемность</t>
  </si>
  <si>
    <t>т</t>
  </si>
  <si>
    <t>руб за 1 ткм</t>
  </si>
  <si>
    <t>руб за пробег</t>
  </si>
  <si>
    <t>=k</t>
  </si>
  <si>
    <t>штраф за потерю грузовика продуктов</t>
  </si>
  <si>
    <t>в месяц</t>
  </si>
  <si>
    <t>Потери продуктов из-за разморозки</t>
  </si>
  <si>
    <t>сумма штрафов за срок службы машины</t>
  </si>
  <si>
    <t>вероятность потерять грузовик продуктов</t>
  </si>
  <si>
    <t>=h_0</t>
  </si>
  <si>
    <t>=a*z_0*x_k*(1+i)/(1+b)</t>
  </si>
  <si>
    <t>Разница между ценой машины и ее себестоимостью</t>
  </si>
  <si>
    <t>Доля надбавки</t>
  </si>
  <si>
    <t>=C+</t>
  </si>
  <si>
    <t>от себестоимости</t>
  </si>
  <si>
    <t>=k*x_k/(1+b)</t>
  </si>
  <si>
    <t>Доходы от продажи отработавшей срок машины</t>
  </si>
  <si>
    <t>доля оставшегося ресурса машины</t>
  </si>
  <si>
    <t>Чистая прибыль от работы машины</t>
  </si>
  <si>
    <t>Эффективность работы машины</t>
  </si>
  <si>
    <t>единицы</t>
  </si>
  <si>
    <t>Стоимость системы мониторинга</t>
  </si>
  <si>
    <t>Базовый трекер</t>
  </si>
  <si>
    <t>ДУТ</t>
  </si>
  <si>
    <t>Термометр</t>
  </si>
  <si>
    <t>интенсивность сливов</t>
  </si>
  <si>
    <t>долей от каждого литра</t>
  </si>
  <si>
    <t>сливы</t>
  </si>
  <si>
    <t>=d</t>
  </si>
  <si>
    <t>Абонентская плата мес</t>
  </si>
  <si>
    <t>мес</t>
  </si>
  <si>
    <t>окупаемость системы мониторинга</t>
  </si>
  <si>
    <t>Расходы, руб</t>
  </si>
  <si>
    <t>Эффективность</t>
  </si>
  <si>
    <t>Выручка, руб</t>
  </si>
  <si>
    <t>Затраты на систему мониторинга, руб</t>
  </si>
  <si>
    <t>Срок окупаемости системы мониторинга, мес</t>
  </si>
  <si>
    <t>Фирма</t>
  </si>
  <si>
    <t>Цены, руб</t>
  </si>
  <si>
    <t>Экономия, руб</t>
  </si>
  <si>
    <t>flagDut</t>
  </si>
  <si>
    <t>flagThermo</t>
  </si>
  <si>
    <t>flagB</t>
  </si>
  <si>
    <t>flagI</t>
  </si>
  <si>
    <t>Расходы за срок службы</t>
  </si>
  <si>
    <t>ПП</t>
  </si>
  <si>
    <t>flagPP</t>
  </si>
  <si>
    <t>точность датчиков</t>
  </si>
  <si>
    <t>flagFrLoss</t>
  </si>
  <si>
    <t>Средние месечные расоды</t>
  </si>
  <si>
    <t>Средняя месечная прибыль</t>
  </si>
  <si>
    <t>Холодильник</t>
  </si>
  <si>
    <t>qqw</t>
  </si>
  <si>
    <t>ыв</t>
  </si>
  <si>
    <t>Месечные показатели одной машины:</t>
  </si>
  <si>
    <t>Месечные показатели одной машины                        с мониторингом:</t>
  </si>
  <si>
    <t>средние затраты на аварии в год у нового авто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</si>
</sst>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164" formatCode="_-* #,##0.0_р_._-;\-* #,##0.0_р_._-;_-* &quot;-&quot;?_р_._-;_-@_-"/>
    <numFmt numFmtId="165" formatCode="#,##0.000_р_.;\-#,##0.000_р_."/>
    <numFmt numFmtId="166" formatCode="_-* #,##0.000_р_._-;\-* #,##0.000_р_._-;_-* &quot;-&quot;???_р_._-;_-@_-"/>
    <numFmt numFmtId="167" formatCode="#,##0_р_."/>
    <numFmt numFmtId="168" formatCode="0.000"/>
    <numFmt numFmtId="169" formatCode="0.000000000"/>
    <numFmt numFmtId="170" formatCode="_-* #,##0.000_р_._-;\-* #,##0.000_р_._-;_-* &quot;-&quot;?_р_._-;_-@_-"/>
  </numFmts>
  <fonts count="6" x14ac:knownFonts="1">
    <font>
      <sz val="11"/>
      <color theme="1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sz val="11"/>
      <color theme="0" tint="-0.34998626667073579"/>
      <name val="Calibri"/>
      <family val="2"/>
      <charset val="204"/>
      <scheme val="minor"/>
    </font>
    <font>
      <sz val="11"/>
      <color theme="0" tint="-0.499984740745262"/>
      <name val="Calibri"/>
      <family val="2"/>
      <charset val="204"/>
      <scheme val="minor"/>
    </font>
  </fonts>
  <fills count="3">
    <fill>
      <patternFill patternType="none"/>
    </fill>
    <fill>
      <patternFill patternType="gray125"/>
    </fill>
    <fill>
      <patternFill patternType="solid">
        <fgColor rgb="FFE0FC5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44">
    <xf numFmtId="0" fontId="0" fillId="0" borderId="0" xfId="0"/>
    <xf numFmtId="11" fontId="0" fillId="0" borderId="0" xfId="0" applyNumberFormat="1"/>
    <xf numFmtId="164" fontId="0" fillId="0" borderId="0" xfId="0" applyNumberFormat="1"/>
    <xf numFmtId="165" fontId="0" fillId="0" borderId="0" xfId="0" applyNumberFormat="1"/>
    <xf numFmtId="166" fontId="0" fillId="0" borderId="0" xfId="0" applyNumberFormat="1"/>
    <xf numFmtId="0" fontId="0" fillId="2" borderId="0" xfId="0" applyFill="1" applyAlignment="1"/>
    <xf numFmtId="0" fontId="0" fillId="0" borderId="0" xfId="0" applyAlignment="1">
      <alignment horizontal="center"/>
    </xf>
    <xf numFmtId="0" fontId="0" fillId="0" borderId="0" xfId="0" applyFill="1" applyAlignment="1">
      <alignment wrapText="1"/>
    </xf>
    <xf numFmtId="0" fontId="3" fillId="0" borderId="0" xfId="0" applyFont="1"/>
    <xf numFmtId="0" fontId="3" fillId="2" borderId="0" xfId="0" applyFont="1" applyFill="1" applyAlignment="1"/>
    <xf numFmtId="0" fontId="4" fillId="0" borderId="0" xfId="0" applyFont="1"/>
    <xf numFmtId="0" fontId="2" fillId="0" borderId="0" xfId="0" applyFont="1"/>
    <xf numFmtId="0" fontId="0" fillId="0" borderId="0" xfId="0" applyFill="1" applyAlignment="1"/>
    <xf numFmtId="0" fontId="0" fillId="0" borderId="1" xfId="0" applyBorder="1"/>
    <xf numFmtId="0" fontId="0" fillId="0" borderId="0" xfId="0" quotePrefix="1"/>
    <xf numFmtId="164" fontId="1" fillId="0" borderId="0" xfId="0" applyNumberFormat="1" applyFont="1"/>
    <xf numFmtId="0" fontId="4" fillId="0" borderId="0" xfId="0" quotePrefix="1" applyFont="1"/>
    <xf numFmtId="0" fontId="3" fillId="0" borderId="0" xfId="0" quotePrefix="1" applyFont="1" applyFill="1"/>
    <xf numFmtId="13" fontId="0" fillId="0" borderId="0" xfId="0" applyNumberFormat="1" applyFill="1" applyBorder="1"/>
    <xf numFmtId="0" fontId="5" fillId="0" borderId="0" xfId="0" quotePrefix="1" applyFont="1"/>
    <xf numFmtId="164" fontId="3" fillId="0" borderId="1" xfId="0" applyNumberFormat="1" applyFont="1" applyBorder="1"/>
    <xf numFmtId="0" fontId="0" fillId="0" borderId="1" xfId="0" applyFill="1" applyBorder="1"/>
    <xf numFmtId="164" fontId="3" fillId="0" borderId="1" xfId="0" applyNumberFormat="1" applyFont="1" applyFill="1" applyBorder="1"/>
    <xf numFmtId="11" fontId="0" fillId="0" borderId="1" xfId="0" applyNumberFormat="1" applyFill="1" applyBorder="1"/>
    <xf numFmtId="0" fontId="0" fillId="0" borderId="0" xfId="0" applyBorder="1"/>
    <xf numFmtId="164" fontId="2" fillId="0" borderId="0" xfId="0" applyNumberFormat="1" applyFont="1"/>
    <xf numFmtId="0" fontId="1" fillId="0" borderId="0" xfId="0" applyFont="1"/>
    <xf numFmtId="0" fontId="1" fillId="0" borderId="0" xfId="0" applyFont="1" applyBorder="1"/>
    <xf numFmtId="164" fontId="0" fillId="0" borderId="0" xfId="0" applyNumberFormat="1" applyFont="1"/>
    <xf numFmtId="167" fontId="0" fillId="0" borderId="0" xfId="0" applyNumberFormat="1" applyBorder="1" applyAlignment="1">
      <alignment vertical="top"/>
    </xf>
    <xf numFmtId="168" fontId="0" fillId="0" borderId="0" xfId="0" applyNumberFormat="1" applyBorder="1"/>
    <xf numFmtId="167" fontId="0" fillId="0" borderId="2" xfId="0" applyNumberFormat="1" applyBorder="1"/>
    <xf numFmtId="167" fontId="0" fillId="0" borderId="0" xfId="0" applyNumberFormat="1" applyBorder="1"/>
    <xf numFmtId="167" fontId="0" fillId="0" borderId="4" xfId="0" applyNumberFormat="1" applyBorder="1"/>
    <xf numFmtId="168" fontId="0" fillId="0" borderId="2" xfId="0" applyNumberFormat="1" applyBorder="1"/>
    <xf numFmtId="167" fontId="0" fillId="0" borderId="3" xfId="0" applyNumberFormat="1" applyBorder="1"/>
    <xf numFmtId="169" fontId="0" fillId="0" borderId="0" xfId="0" applyNumberFormat="1"/>
    <xf numFmtId="170" fontId="0" fillId="0" borderId="0" xfId="0" applyNumberFormat="1"/>
    <xf numFmtId="167" fontId="0" fillId="0" borderId="3" xfId="0" applyNumberFormat="1" applyBorder="1" applyAlignment="1">
      <alignment horizontal="center" wrapText="1"/>
    </xf>
    <xf numFmtId="168" fontId="0" fillId="0" borderId="2" xfId="0" applyNumberFormat="1" applyBorder="1" applyAlignment="1">
      <alignment horizontal="center" wrapText="1"/>
    </xf>
    <xf numFmtId="167" fontId="0" fillId="0" borderId="4" xfId="0" applyNumberFormat="1" applyBorder="1" applyAlignment="1">
      <alignment horizontal="left" wrapText="1"/>
    </xf>
    <xf numFmtId="167" fontId="0" fillId="0" borderId="0" xfId="0" applyNumberFormat="1" applyBorder="1" applyAlignment="1">
      <alignment horizontal="left" wrapText="1"/>
    </xf>
    <xf numFmtId="167" fontId="0" fillId="0" borderId="2" xfId="0" applyNumberFormat="1" applyBorder="1" applyAlignment="1">
      <alignment horizontal="left" wrapText="1"/>
    </xf>
    <xf numFmtId="2" fontId="0" fillId="0" borderId="1" xfId="0" applyNumberFormat="1" applyBorder="1"/>
  </cellXfs>
  <cellStyles count="1">
    <cellStyle name="Обычный" xfId="0" builtinId="0"/>
  </cellStyles>
  <dxfs count="0"/>
  <tableStyles count="0" defaultTableStyle="TableStyleMedium2" defaultPivotStyle="PivotStyleLight16"/>
  <colors>
    <mruColors>
      <color rgb="FFE0FC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38100</xdr:rowOff>
        </xdr:from>
        <xdr:to>
          <xdr:col>0</xdr:col>
          <xdr:colOff>533400</xdr:colOff>
          <xdr:row>0</xdr:row>
          <xdr:rowOff>323850</xdr:rowOff>
        </xdr:to>
        <xdr:sp macro="" textlink="">
          <xdr:nvSpPr>
            <xdr:cNvPr id="2050" name="EgrixButton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B1:V80"/>
  <sheetViews>
    <sheetView tabSelected="1" topLeftCell="A55" zoomScaleNormal="100" workbookViewId="0">
      <selection activeCell="I58" sqref="I58"/>
    </sheetView>
  </sheetViews>
  <sheetFormatPr defaultRowHeight="15" x14ac:dyDescent="0.25"/>
  <cols>
    <col min="3" max="3" width="13.7109375" bestFit="1" customWidth="1"/>
    <col min="4" max="4" width="13" customWidth="1"/>
    <col min="5" max="5" width="16.42578125" style="2" customWidth="1"/>
    <col min="7" max="7" width="10.140625" customWidth="1"/>
    <col min="8" max="8" width="20.7109375" style="10" customWidth="1"/>
    <col min="9" max="9" width="18.28515625" bestFit="1" customWidth="1"/>
    <col min="10" max="10" width="9.42578125" customWidth="1"/>
    <col min="15" max="15" width="9.140625" style="5" customWidth="1"/>
  </cols>
  <sheetData>
    <row r="1" spans="2:22" x14ac:dyDescent="0.25">
      <c r="B1" t="s">
        <v>37</v>
      </c>
      <c r="E1" s="20">
        <v>1</v>
      </c>
      <c r="F1" t="s">
        <v>28</v>
      </c>
      <c r="I1" t="s">
        <v>76</v>
      </c>
      <c r="J1">
        <f>IF(flagI,0,accu)</f>
        <v>0.05</v>
      </c>
      <c r="K1" s="16" t="s">
        <v>78</v>
      </c>
      <c r="M1" t="b">
        <v>0</v>
      </c>
      <c r="N1" t="s">
        <v>126</v>
      </c>
      <c r="O1" s="12"/>
      <c r="P1" t="b">
        <v>0</v>
      </c>
      <c r="Q1" t="s">
        <v>129</v>
      </c>
      <c r="U1">
        <v>0.05</v>
      </c>
      <c r="V1" t="s">
        <v>133</v>
      </c>
    </row>
    <row r="2" spans="2:22" x14ac:dyDescent="0.25">
      <c r="B2" t="s">
        <v>45</v>
      </c>
      <c r="E2" s="2">
        <f>E5/x_k</f>
        <v>1250000</v>
      </c>
      <c r="F2" t="s">
        <v>5</v>
      </c>
      <c r="G2" s="16" t="s">
        <v>34</v>
      </c>
      <c r="I2" t="s">
        <v>77</v>
      </c>
      <c r="J2">
        <f>IF(OR(flagPP,flagB),0,accu)</f>
        <v>0.05</v>
      </c>
      <c r="K2" s="16" t="s">
        <v>79</v>
      </c>
      <c r="M2" t="b">
        <v>0</v>
      </c>
      <c r="N2" t="s">
        <v>127</v>
      </c>
      <c r="O2" s="12"/>
      <c r="P2" t="b">
        <v>0</v>
      </c>
      <c r="Q2" t="s">
        <v>128</v>
      </c>
      <c r="S2" t="b">
        <v>0</v>
      </c>
      <c r="T2" t="s">
        <v>132</v>
      </c>
    </row>
    <row r="3" spans="2:22" x14ac:dyDescent="0.25">
      <c r="B3" s="11" t="s">
        <v>29</v>
      </c>
      <c r="F3" t="s">
        <v>3</v>
      </c>
      <c r="H3" s="10" t="s">
        <v>36</v>
      </c>
      <c r="I3" t="s">
        <v>30</v>
      </c>
      <c r="O3" s="5" t="s">
        <v>22</v>
      </c>
    </row>
    <row r="4" spans="2:22" x14ac:dyDescent="0.25">
      <c r="B4" t="s">
        <v>0</v>
      </c>
      <c r="E4" s="4">
        <f>$E$6*$I4</f>
        <v>0.8</v>
      </c>
      <c r="F4" t="s">
        <v>6</v>
      </c>
      <c r="H4" s="16" t="s">
        <v>33</v>
      </c>
      <c r="I4" s="23">
        <f>(0.8/500000)</f>
        <v>1.6000000000000001E-6</v>
      </c>
      <c r="J4" t="str">
        <f t="shared" ref="J4:J9" si="0">$F4&amp;" на "&amp;$F$6</f>
        <v>долей на км</v>
      </c>
      <c r="O4" s="5" t="s">
        <v>46</v>
      </c>
    </row>
    <row r="5" spans="2:22" x14ac:dyDescent="0.25">
      <c r="B5" t="s">
        <v>1</v>
      </c>
      <c r="E5" s="20">
        <f>$E$6*$I5</f>
        <v>1000000</v>
      </c>
      <c r="F5" t="s">
        <v>5</v>
      </c>
      <c r="H5" s="16" t="s">
        <v>44</v>
      </c>
      <c r="I5" s="23">
        <v>2</v>
      </c>
      <c r="J5" t="str">
        <f t="shared" si="0"/>
        <v>руб на км</v>
      </c>
    </row>
    <row r="6" spans="2:22" x14ac:dyDescent="0.25">
      <c r="B6" t="s">
        <v>2</v>
      </c>
      <c r="E6" s="22">
        <v>500000</v>
      </c>
      <c r="F6" t="s">
        <v>4</v>
      </c>
      <c r="I6" s="1"/>
      <c r="J6" t="str">
        <f t="shared" si="0"/>
        <v>км на км</v>
      </c>
      <c r="L6" s="24" t="s">
        <v>40</v>
      </c>
      <c r="M6" s="24"/>
      <c r="N6" s="24"/>
      <c r="O6" s="5" t="s">
        <v>58</v>
      </c>
      <c r="P6" s="7"/>
      <c r="Q6" s="7"/>
      <c r="R6" s="7"/>
      <c r="S6" s="7"/>
      <c r="T6" s="7"/>
      <c r="U6" s="7"/>
    </row>
    <row r="7" spans="2:22" x14ac:dyDescent="0.25">
      <c r="B7" t="s">
        <v>12</v>
      </c>
      <c r="E7" s="2">
        <f>$E$6*$I7</f>
        <v>10000</v>
      </c>
      <c r="F7" t="s">
        <v>7</v>
      </c>
      <c r="I7" s="18">
        <f>1/L7</f>
        <v>0.02</v>
      </c>
      <c r="J7" t="str">
        <f t="shared" si="0"/>
        <v>ч на км</v>
      </c>
      <c r="L7" s="21">
        <v>50</v>
      </c>
      <c r="M7" s="24" t="s">
        <v>4</v>
      </c>
      <c r="N7" s="24" t="s">
        <v>7</v>
      </c>
      <c r="O7" s="5" t="s">
        <v>24</v>
      </c>
      <c r="P7" s="7"/>
      <c r="Q7" s="7"/>
      <c r="R7" s="7"/>
      <c r="S7" s="7"/>
      <c r="T7" s="7"/>
      <c r="U7" s="7"/>
    </row>
    <row r="8" spans="2:22" x14ac:dyDescent="0.25">
      <c r="B8" t="s">
        <v>13</v>
      </c>
      <c r="E8" s="2">
        <f>$E$6*$I8</f>
        <v>2000</v>
      </c>
      <c r="F8" t="s">
        <v>8</v>
      </c>
      <c r="I8" s="1">
        <f>$I7/$L$8</f>
        <v>4.0000000000000001E-3</v>
      </c>
      <c r="J8" t="str">
        <f t="shared" si="0"/>
        <v>дней на км</v>
      </c>
      <c r="L8" s="21">
        <f>5</f>
        <v>5</v>
      </c>
      <c r="M8" t="s">
        <v>9</v>
      </c>
      <c r="O8" s="5" t="s">
        <v>27</v>
      </c>
    </row>
    <row r="9" spans="2:22" x14ac:dyDescent="0.25">
      <c r="B9" t="s">
        <v>14</v>
      </c>
      <c r="E9" s="3">
        <f>$E$6*$I9</f>
        <v>8</v>
      </c>
      <c r="F9" t="s">
        <v>10</v>
      </c>
      <c r="I9" s="1">
        <f>$I8/L9</f>
        <v>1.5999999999999999E-5</v>
      </c>
      <c r="J9" t="str">
        <f t="shared" si="0"/>
        <v>лет на км</v>
      </c>
      <c r="L9" s="21">
        <v>250</v>
      </c>
      <c r="M9" t="s">
        <v>26</v>
      </c>
    </row>
    <row r="10" spans="2:22" x14ac:dyDescent="0.25">
      <c r="L10" s="17" t="s">
        <v>38</v>
      </c>
      <c r="M10" s="8" t="s">
        <v>11</v>
      </c>
      <c r="N10" s="8"/>
      <c r="O10" s="9" t="s">
        <v>39</v>
      </c>
    </row>
    <row r="11" spans="2:22" x14ac:dyDescent="0.25">
      <c r="E11" s="25" t="s">
        <v>15</v>
      </c>
      <c r="I11" t="s">
        <v>20</v>
      </c>
    </row>
    <row r="12" spans="2:22" x14ac:dyDescent="0.25">
      <c r="B12" t="s">
        <v>17</v>
      </c>
      <c r="E12" t="s">
        <v>16</v>
      </c>
      <c r="I12" t="s">
        <v>35</v>
      </c>
    </row>
    <row r="13" spans="2:22" x14ac:dyDescent="0.25">
      <c r="E13" s="2">
        <f>a*I13*E6</f>
        <v>60000</v>
      </c>
      <c r="F13" t="str">
        <f>J13</f>
        <v>л</v>
      </c>
      <c r="I13" s="21">
        <f>12/100</f>
        <v>0.12</v>
      </c>
      <c r="J13" t="str">
        <f>N14</f>
        <v>л</v>
      </c>
      <c r="K13" t="s">
        <v>4</v>
      </c>
      <c r="L13" t="s">
        <v>31</v>
      </c>
      <c r="O13" s="5" t="s">
        <v>25</v>
      </c>
    </row>
    <row r="14" spans="2:22" x14ac:dyDescent="0.25">
      <c r="E14" s="2">
        <f>a*q_0*x_k</f>
        <v>2100000</v>
      </c>
      <c r="F14" t="s">
        <v>5</v>
      </c>
      <c r="H14" s="16" t="s">
        <v>43</v>
      </c>
      <c r="I14">
        <f>L14*I13</f>
        <v>4.2</v>
      </c>
      <c r="J14" t="s">
        <v>63</v>
      </c>
      <c r="L14" s="21">
        <v>35</v>
      </c>
      <c r="M14" s="24" t="s">
        <v>5</v>
      </c>
      <c r="N14" s="24" t="s">
        <v>32</v>
      </c>
    </row>
    <row r="15" spans="2:22" x14ac:dyDescent="0.25">
      <c r="I15" s="2">
        <f>I14*prob/x_k</f>
        <v>2625000</v>
      </c>
      <c r="J15" t="s">
        <v>82</v>
      </c>
      <c r="M15" s="19" t="s">
        <v>42</v>
      </c>
    </row>
    <row r="16" spans="2:22" x14ac:dyDescent="0.25">
      <c r="I16" s="26">
        <f>q_0/C0</f>
        <v>2.1</v>
      </c>
    </row>
    <row r="17" spans="2:15" x14ac:dyDescent="0.25">
      <c r="D17" t="s">
        <v>113</v>
      </c>
      <c r="E17" t="s">
        <v>16</v>
      </c>
      <c r="I17" s="8" t="s">
        <v>111</v>
      </c>
    </row>
    <row r="18" spans="2:15" x14ac:dyDescent="0.25">
      <c r="I18" s="21">
        <v>0.05</v>
      </c>
      <c r="J18" t="s">
        <v>112</v>
      </c>
    </row>
    <row r="19" spans="2:15" x14ac:dyDescent="0.25">
      <c r="E19" s="2">
        <f>IF(flagDut,d*x_k*accu,d*x_k)</f>
        <v>105000</v>
      </c>
      <c r="F19" t="s">
        <v>5</v>
      </c>
      <c r="I19">
        <f>I18*q_0</f>
        <v>131250</v>
      </c>
      <c r="J19" t="s">
        <v>82</v>
      </c>
      <c r="M19" s="16" t="s">
        <v>114</v>
      </c>
    </row>
    <row r="20" spans="2:15" x14ac:dyDescent="0.25">
      <c r="I20" s="26">
        <f>I19/C0</f>
        <v>0.105</v>
      </c>
    </row>
    <row r="21" spans="2:15" x14ac:dyDescent="0.25">
      <c r="B21" t="s">
        <v>19</v>
      </c>
      <c r="E21" t="s">
        <v>16</v>
      </c>
      <c r="I21" t="s">
        <v>18</v>
      </c>
    </row>
    <row r="22" spans="2:15" x14ac:dyDescent="0.25">
      <c r="I22" s="13">
        <v>0.27500000000000002</v>
      </c>
      <c r="J22" t="s">
        <v>81</v>
      </c>
      <c r="O22" s="5" t="s">
        <v>21</v>
      </c>
    </row>
    <row r="23" spans="2:15" x14ac:dyDescent="0.25">
      <c r="D23" t="s">
        <v>47</v>
      </c>
      <c r="E23" s="2">
        <f>q_1*mlog(x_k,a)</f>
        <v>1161812.9930383665</v>
      </c>
      <c r="F23" t="str">
        <f>J23</f>
        <v>руб</v>
      </c>
      <c r="I23" s="2">
        <f>I22*q_0</f>
        <v>721875.00000000012</v>
      </c>
      <c r="J23" t="str">
        <f>M14</f>
        <v>руб</v>
      </c>
      <c r="K23" s="16" t="s">
        <v>41</v>
      </c>
      <c r="L23" t="s">
        <v>52</v>
      </c>
    </row>
    <row r="24" spans="2:15" x14ac:dyDescent="0.25">
      <c r="I24" s="26">
        <f>q_1/C0</f>
        <v>0.57750000000000012</v>
      </c>
    </row>
    <row r="25" spans="2:15" x14ac:dyDescent="0.25">
      <c r="D25" t="s">
        <v>48</v>
      </c>
      <c r="E25" s="2">
        <f>E14+E23</f>
        <v>3261812.9930383665</v>
      </c>
      <c r="F25" t="str">
        <f>J23</f>
        <v>руб</v>
      </c>
    </row>
    <row r="27" spans="2:15" x14ac:dyDescent="0.25">
      <c r="E27" s="25" t="s">
        <v>49</v>
      </c>
    </row>
    <row r="28" spans="2:15" x14ac:dyDescent="0.25">
      <c r="B28" t="s">
        <v>17</v>
      </c>
      <c r="E28" s="2" t="s">
        <v>16</v>
      </c>
      <c r="I28" t="s">
        <v>142</v>
      </c>
    </row>
    <row r="29" spans="2:15" x14ac:dyDescent="0.25">
      <c r="E29" s="2">
        <f>a*r_0*x_k</f>
        <v>320000</v>
      </c>
      <c r="H29" s="16" t="s">
        <v>66</v>
      </c>
      <c r="I29" s="13">
        <v>20000</v>
      </c>
      <c r="J29" t="s">
        <v>5</v>
      </c>
      <c r="K29" t="s">
        <v>50</v>
      </c>
      <c r="L29">
        <f>$L$9*$L$8*$L$7</f>
        <v>62500</v>
      </c>
      <c r="M29" t="s">
        <v>51</v>
      </c>
    </row>
    <row r="30" spans="2:15" x14ac:dyDescent="0.25">
      <c r="B30" s="14" t="s">
        <v>64</v>
      </c>
      <c r="I30" s="2">
        <f>(I29/L29)*C0</f>
        <v>400000</v>
      </c>
      <c r="J30" t="s">
        <v>67</v>
      </c>
      <c r="L30" s="16" t="s">
        <v>65</v>
      </c>
    </row>
    <row r="31" spans="2:15" x14ac:dyDescent="0.25">
      <c r="I31" s="26">
        <f>r_0/C0</f>
        <v>0.32</v>
      </c>
    </row>
    <row r="32" spans="2:15" x14ac:dyDescent="0.25">
      <c r="B32" t="s">
        <v>19</v>
      </c>
      <c r="E32" t="s">
        <v>16</v>
      </c>
      <c r="I32" t="s">
        <v>53</v>
      </c>
    </row>
    <row r="33" spans="2:15" x14ac:dyDescent="0.25">
      <c r="I33" t="s">
        <v>57</v>
      </c>
      <c r="L33" t="s">
        <v>54</v>
      </c>
    </row>
    <row r="34" spans="2:15" x14ac:dyDescent="0.25">
      <c r="E34" s="2">
        <f>r_1*mlog(x_k,a)</f>
        <v>173965.60558525391</v>
      </c>
      <c r="F34" t="str">
        <f>J36</f>
        <v>руб</v>
      </c>
      <c r="I34" s="13">
        <v>0.95</v>
      </c>
      <c r="L34" s="4">
        <f>x_k*N34/E6</f>
        <v>0.96</v>
      </c>
      <c r="M34" s="16" t="s">
        <v>55</v>
      </c>
      <c r="N34" s="13">
        <v>600000</v>
      </c>
      <c r="O34" s="5" t="s">
        <v>23</v>
      </c>
    </row>
    <row r="35" spans="2:15" x14ac:dyDescent="0.25">
      <c r="L35" s="4">
        <f>x_k*N35/E6</f>
        <v>0.64</v>
      </c>
      <c r="M35" s="16" t="s">
        <v>56</v>
      </c>
      <c r="N35" s="13">
        <v>400000</v>
      </c>
    </row>
    <row r="36" spans="2:15" x14ac:dyDescent="0.25">
      <c r="D36" t="s">
        <v>48</v>
      </c>
      <c r="E36" s="2">
        <f>E29+E34</f>
        <v>493965.60558525391</v>
      </c>
      <c r="F36" t="str">
        <f>J36</f>
        <v>руб</v>
      </c>
      <c r="I36">
        <f>I34*C0*(1-x_k)/(mlog(L34,a)-mlog(L35,a))</f>
        <v>108090.90816193697</v>
      </c>
      <c r="J36" t="s">
        <v>5</v>
      </c>
      <c r="K36" s="16" t="s">
        <v>59</v>
      </c>
    </row>
    <row r="37" spans="2:15" x14ac:dyDescent="0.25">
      <c r="I37" s="26">
        <f>r_1/C0</f>
        <v>8.6472726529549571E-2</v>
      </c>
    </row>
    <row r="38" spans="2:15" x14ac:dyDescent="0.25">
      <c r="E38" s="25" t="s">
        <v>60</v>
      </c>
    </row>
    <row r="39" spans="2:15" x14ac:dyDescent="0.25">
      <c r="B39" t="s">
        <v>17</v>
      </c>
      <c r="E39" s="2" t="s">
        <v>16</v>
      </c>
      <c r="I39" t="s">
        <v>62</v>
      </c>
    </row>
    <row r="40" spans="2:15" x14ac:dyDescent="0.25">
      <c r="E40" s="2">
        <f>a*s_0*x_k</f>
        <v>500000</v>
      </c>
      <c r="F40" t="s">
        <v>5</v>
      </c>
      <c r="H40" s="16" t="s">
        <v>80</v>
      </c>
      <c r="I40" s="13">
        <v>0.05</v>
      </c>
      <c r="J40" t="s">
        <v>73</v>
      </c>
      <c r="O40" s="5" t="s">
        <v>61</v>
      </c>
    </row>
    <row r="41" spans="2:15" x14ac:dyDescent="0.25">
      <c r="I41">
        <f>I40*C0</f>
        <v>62500</v>
      </c>
      <c r="J41" t="s">
        <v>74</v>
      </c>
    </row>
    <row r="42" spans="2:15" x14ac:dyDescent="0.25">
      <c r="I42">
        <f>I41*srok/x_k</f>
        <v>625000</v>
      </c>
      <c r="J42" t="s">
        <v>75</v>
      </c>
      <c r="L42" s="16" t="s">
        <v>68</v>
      </c>
    </row>
    <row r="43" spans="2:15" x14ac:dyDescent="0.25">
      <c r="I43" s="15">
        <f>s_0/C0</f>
        <v>0.5</v>
      </c>
    </row>
    <row r="44" spans="2:15" x14ac:dyDescent="0.25">
      <c r="E44" s="25" t="s">
        <v>92</v>
      </c>
    </row>
    <row r="45" spans="2:15" x14ac:dyDescent="0.25">
      <c r="E45" s="2" t="s">
        <v>16</v>
      </c>
      <c r="I45" t="s">
        <v>90</v>
      </c>
      <c r="L45" t="s">
        <v>94</v>
      </c>
    </row>
    <row r="46" spans="2:15" x14ac:dyDescent="0.25">
      <c r="E46" s="2">
        <f>IF(flagThermo,h_0*x_k*accu,h_0*x_k)</f>
        <v>0</v>
      </c>
      <c r="F46" t="s">
        <v>5</v>
      </c>
      <c r="I46" s="13">
        <v>50000</v>
      </c>
      <c r="J46" t="s">
        <v>5</v>
      </c>
      <c r="L46" s="43">
        <f>IF(flagFrLoss,0.05,0)</f>
        <v>0</v>
      </c>
      <c r="M46" t="s">
        <v>91</v>
      </c>
    </row>
    <row r="47" spans="2:15" x14ac:dyDescent="0.25">
      <c r="I47" t="s">
        <v>93</v>
      </c>
      <c r="L47" t="b">
        <v>0</v>
      </c>
      <c r="M47" t="s">
        <v>134</v>
      </c>
    </row>
    <row r="48" spans="2:15" x14ac:dyDescent="0.25">
      <c r="I48">
        <f>I46*L46*12*srok/x_k</f>
        <v>0</v>
      </c>
      <c r="J48" t="s">
        <v>5</v>
      </c>
      <c r="K48" s="16" t="s">
        <v>95</v>
      </c>
    </row>
    <row r="49" spans="3:13" x14ac:dyDescent="0.25">
      <c r="I49" s="26">
        <f>h_0/C0</f>
        <v>0</v>
      </c>
    </row>
    <row r="50" spans="3:13" x14ac:dyDescent="0.25">
      <c r="E50" s="25" t="s">
        <v>97</v>
      </c>
      <c r="I50" t="s">
        <v>98</v>
      </c>
    </row>
    <row r="51" spans="3:13" x14ac:dyDescent="0.25">
      <c r="E51" s="2">
        <f>C0*I51</f>
        <v>125000</v>
      </c>
      <c r="F51" t="s">
        <v>5</v>
      </c>
      <c r="H51" s="16" t="s">
        <v>99</v>
      </c>
      <c r="I51" s="13">
        <v>0.1</v>
      </c>
      <c r="J51" t="s">
        <v>100</v>
      </c>
    </row>
    <row r="52" spans="3:13" x14ac:dyDescent="0.25">
      <c r="I52" s="27">
        <f>I51</f>
        <v>0.1</v>
      </c>
    </row>
    <row r="53" spans="3:13" x14ac:dyDescent="0.25">
      <c r="E53" s="25" t="s">
        <v>69</v>
      </c>
      <c r="I53" t="s">
        <v>71</v>
      </c>
    </row>
    <row r="54" spans="3:13" x14ac:dyDescent="0.25">
      <c r="E54" s="2" t="s">
        <v>16</v>
      </c>
      <c r="I54" s="13">
        <v>30000</v>
      </c>
      <c r="J54" t="s">
        <v>72</v>
      </c>
    </row>
    <row r="55" spans="3:13" x14ac:dyDescent="0.25">
      <c r="E55" s="2">
        <f>z_0*x_k*(1+i)/(1+b)</f>
        <v>2880000</v>
      </c>
      <c r="F55" t="s">
        <v>5</v>
      </c>
      <c r="H55" s="16" t="s">
        <v>96</v>
      </c>
      <c r="I55" s="2">
        <f>I54*12*srok/x_k</f>
        <v>3600000</v>
      </c>
      <c r="J55" t="s">
        <v>75</v>
      </c>
      <c r="L55" s="16" t="s">
        <v>70</v>
      </c>
    </row>
    <row r="56" spans="3:13" x14ac:dyDescent="0.25">
      <c r="I56" s="26">
        <f>z_0/C0</f>
        <v>2.88</v>
      </c>
    </row>
    <row r="57" spans="3:13" x14ac:dyDescent="0.25">
      <c r="E57" s="25" t="s">
        <v>102</v>
      </c>
      <c r="I57" s="8" t="s">
        <v>103</v>
      </c>
    </row>
    <row r="58" spans="3:13" x14ac:dyDescent="0.25">
      <c r="E58" s="2">
        <f>C0*(1-a*x_k)</f>
        <v>249999.99999999994</v>
      </c>
      <c r="F58" t="s">
        <v>5</v>
      </c>
      <c r="I58" s="26">
        <f>1-x_k</f>
        <v>0.19999999999999996</v>
      </c>
    </row>
    <row r="59" spans="3:13" x14ac:dyDescent="0.25">
      <c r="I59" s="26"/>
    </row>
    <row r="60" spans="3:13" x14ac:dyDescent="0.25">
      <c r="E60" s="25" t="s">
        <v>83</v>
      </c>
      <c r="I60" t="s">
        <v>84</v>
      </c>
      <c r="L60" t="s">
        <v>85</v>
      </c>
    </row>
    <row r="61" spans="3:13" x14ac:dyDescent="0.25">
      <c r="I61" s="13">
        <v>5</v>
      </c>
      <c r="J61" t="s">
        <v>87</v>
      </c>
      <c r="L61">
        <v>5</v>
      </c>
      <c r="M61" t="s">
        <v>86</v>
      </c>
    </row>
    <row r="62" spans="3:13" x14ac:dyDescent="0.25">
      <c r="E62" s="2">
        <f>k*x_k/(1+b)</f>
        <v>9523809.5238095243</v>
      </c>
      <c r="F62" t="s">
        <v>5</v>
      </c>
      <c r="H62" s="16" t="s">
        <v>101</v>
      </c>
      <c r="I62" s="2">
        <f>I61*L61*prob</f>
        <v>12500000</v>
      </c>
      <c r="J62" t="s">
        <v>88</v>
      </c>
      <c r="L62" s="16" t="s">
        <v>89</v>
      </c>
    </row>
    <row r="63" spans="3:13" x14ac:dyDescent="0.25">
      <c r="I63" s="26">
        <f>k/C0</f>
        <v>10</v>
      </c>
    </row>
    <row r="64" spans="3:13" x14ac:dyDescent="0.25">
      <c r="C64" s="11" t="s">
        <v>135</v>
      </c>
      <c r="E64" s="11" t="s">
        <v>130</v>
      </c>
    </row>
    <row r="65" spans="2:10" x14ac:dyDescent="0.25">
      <c r="C65" s="28">
        <f>E65/(srok*12)</f>
        <v>87143.527068996045</v>
      </c>
      <c r="E65" s="2">
        <f>SUM(E2,E51,E14,E23,E29,E34,E40,E46,E55,E19)-E58</f>
        <v>8365778.5986236203</v>
      </c>
      <c r="F65" t="s">
        <v>5</v>
      </c>
    </row>
    <row r="67" spans="2:10" x14ac:dyDescent="0.25">
      <c r="C67" s="11" t="s">
        <v>136</v>
      </c>
      <c r="E67" s="25" t="s">
        <v>104</v>
      </c>
      <c r="I67" s="11" t="s">
        <v>105</v>
      </c>
    </row>
    <row r="68" spans="2:10" x14ac:dyDescent="0.25">
      <c r="C68" s="2">
        <f>E68/(srok*12)</f>
        <v>12062.822137353165</v>
      </c>
      <c r="D68" t="s">
        <v>5</v>
      </c>
      <c r="E68" s="2">
        <f>E62-E65</f>
        <v>1158030.9251859039</v>
      </c>
      <c r="F68" t="s">
        <v>5</v>
      </c>
      <c r="I68" s="36">
        <f>E62/E65</f>
        <v>1.1384247636408198</v>
      </c>
      <c r="J68" t="s">
        <v>106</v>
      </c>
    </row>
    <row r="71" spans="2:10" x14ac:dyDescent="0.25">
      <c r="B71" s="11" t="s">
        <v>107</v>
      </c>
    </row>
    <row r="72" spans="2:10" x14ac:dyDescent="0.25">
      <c r="B72" t="s">
        <v>124</v>
      </c>
    </row>
    <row r="73" spans="2:10" x14ac:dyDescent="0.25">
      <c r="B73" t="s">
        <v>108</v>
      </c>
      <c r="D73" s="2" t="s">
        <v>115</v>
      </c>
      <c r="G73" t="s">
        <v>16</v>
      </c>
      <c r="I73">
        <v>8365778.5986236203</v>
      </c>
    </row>
    <row r="74" spans="2:10" x14ac:dyDescent="0.25">
      <c r="B74" s="13">
        <v>4500</v>
      </c>
      <c r="D74" s="13">
        <v>300</v>
      </c>
      <c r="E74" s="2" t="s">
        <v>5</v>
      </c>
      <c r="G74">
        <f>D74*12*srok</f>
        <v>28800</v>
      </c>
      <c r="H74" s="8" t="s">
        <v>5</v>
      </c>
      <c r="I74">
        <v>8605778.5986236203</v>
      </c>
    </row>
    <row r="75" spans="2:10" x14ac:dyDescent="0.25">
      <c r="B75" t="s">
        <v>109</v>
      </c>
      <c r="I75" s="2">
        <v>8377778.5986236203</v>
      </c>
    </row>
    <row r="76" spans="2:10" x14ac:dyDescent="0.25">
      <c r="B76" s="13">
        <v>2500</v>
      </c>
      <c r="F76" t="s">
        <v>48</v>
      </c>
      <c r="G76" t="s">
        <v>16</v>
      </c>
    </row>
    <row r="77" spans="2:10" x14ac:dyDescent="0.25">
      <c r="B77" t="s">
        <v>110</v>
      </c>
      <c r="G77">
        <f>SUM(B74,B76,B78,G74)</f>
        <v>37800</v>
      </c>
      <c r="H77" s="8" t="s">
        <v>5</v>
      </c>
    </row>
    <row r="78" spans="2:10" x14ac:dyDescent="0.25">
      <c r="B78" s="13">
        <v>2000</v>
      </c>
    </row>
    <row r="79" spans="2:10" x14ac:dyDescent="0.25">
      <c r="B79" t="s">
        <v>131</v>
      </c>
      <c r="F79" t="s">
        <v>117</v>
      </c>
    </row>
    <row r="80" spans="2:10" x14ac:dyDescent="0.25">
      <c r="B80" s="13">
        <v>3000</v>
      </c>
      <c r="G80" s="37">
        <f>(G77/E68)*(srok*12)</f>
        <v>3.1335950716665466</v>
      </c>
      <c r="H80" s="8" t="s">
        <v>116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N8"/>
  <sheetViews>
    <sheetView workbookViewId="0">
      <selection activeCell="E2" sqref="E2"/>
    </sheetView>
  </sheetViews>
  <sheetFormatPr defaultRowHeight="15" x14ac:dyDescent="0.25"/>
  <cols>
    <col min="2" max="2" width="14.7109375" style="32" customWidth="1"/>
    <col min="3" max="3" width="14.7109375" style="30" customWidth="1"/>
    <col min="4" max="4" width="14.7109375" style="31" customWidth="1"/>
    <col min="5" max="5" width="14.7109375" style="33" customWidth="1"/>
    <col min="6" max="6" width="14.7109375" style="30" customWidth="1"/>
    <col min="7" max="7" width="14.7109375" style="31" customWidth="1"/>
    <col min="8" max="8" width="14.5703125" style="35" customWidth="1"/>
    <col min="9" max="9" width="19.140625" style="35" customWidth="1"/>
    <col min="10" max="10" width="27.28515625" style="34" customWidth="1"/>
    <col min="11" max="11" width="13.42578125" customWidth="1"/>
    <col min="12" max="12" width="11.140625" customWidth="1"/>
    <col min="13" max="13" width="9.140625" customWidth="1"/>
    <col min="14" max="14" width="9.42578125" customWidth="1"/>
    <col min="15" max="19" width="7.7109375" customWidth="1"/>
  </cols>
  <sheetData>
    <row r="1" spans="1:14" ht="27" customHeight="1" x14ac:dyDescent="0.25">
      <c r="A1" s="6" t="s">
        <v>123</v>
      </c>
      <c r="B1" s="29" t="s">
        <v>140</v>
      </c>
      <c r="E1" s="40" t="s">
        <v>141</v>
      </c>
      <c r="F1" s="41"/>
      <c r="G1" s="42"/>
      <c r="I1" s="38" t="s">
        <v>121</v>
      </c>
      <c r="J1" s="39" t="s">
        <v>122</v>
      </c>
      <c r="K1" t="s">
        <v>137</v>
      </c>
      <c r="L1" t="s">
        <v>110</v>
      </c>
      <c r="M1" t="s">
        <v>109</v>
      </c>
      <c r="N1" t="s">
        <v>131</v>
      </c>
    </row>
    <row r="2" spans="1:14" x14ac:dyDescent="0.25">
      <c r="A2" s="6" t="s">
        <v>123</v>
      </c>
      <c r="B2" s="32" t="s">
        <v>118</v>
      </c>
      <c r="C2" s="30" t="s">
        <v>119</v>
      </c>
      <c r="D2" s="31" t="s">
        <v>120</v>
      </c>
      <c r="E2" s="33" t="s">
        <v>118</v>
      </c>
      <c r="F2" s="30" t="s">
        <v>119</v>
      </c>
      <c r="G2" s="31" t="s">
        <v>120</v>
      </c>
      <c r="H2" s="35" t="s">
        <v>125</v>
      </c>
      <c r="I2" s="38"/>
      <c r="J2" s="39"/>
    </row>
    <row r="3" spans="1:14" x14ac:dyDescent="0.25">
      <c r="A3" t="s">
        <v>138</v>
      </c>
      <c r="B3" s="32">
        <v>87143.527068996002</v>
      </c>
      <c r="C3" s="30">
        <v>1.13842476364082</v>
      </c>
      <c r="D3" s="31">
        <v>12062.8221373532</v>
      </c>
      <c r="E3" s="33">
        <v>87143.527068996002</v>
      </c>
      <c r="F3" s="30">
        <v>1.1953460018228601</v>
      </c>
      <c r="G3" s="31">
        <v>17023.139597670601</v>
      </c>
      <c r="H3" s="35">
        <v>4961</v>
      </c>
      <c r="I3" s="35">
        <v>4500</v>
      </c>
      <c r="J3" s="34">
        <v>2.2205069624860698</v>
      </c>
      <c r="K3" t="b">
        <v>0</v>
      </c>
      <c r="L3" t="b">
        <v>0</v>
      </c>
      <c r="M3" t="b">
        <v>0</v>
      </c>
      <c r="N3" t="b">
        <v>0</v>
      </c>
    </row>
    <row r="4" spans="1:14" x14ac:dyDescent="0.25">
      <c r="A4" t="s">
        <v>138</v>
      </c>
      <c r="B4" s="32">
        <v>89643.527068996002</v>
      </c>
      <c r="C4" s="30">
        <v>1.1066761031166601</v>
      </c>
      <c r="D4" s="31">
        <v>9562.8221373531705</v>
      </c>
      <c r="E4" s="33">
        <v>89643.527068996002</v>
      </c>
      <c r="F4" s="30">
        <v>1.16200990827249</v>
      </c>
      <c r="G4" s="31">
        <v>14523.139597670601</v>
      </c>
      <c r="H4" s="35">
        <v>4961</v>
      </c>
      <c r="I4" s="35">
        <v>4500</v>
      </c>
      <c r="J4" s="34">
        <v>2.60274300510495</v>
      </c>
      <c r="K4" t="b">
        <v>1</v>
      </c>
      <c r="L4" t="b">
        <v>0</v>
      </c>
      <c r="M4" t="b">
        <v>0</v>
      </c>
      <c r="N4" t="b">
        <v>0</v>
      </c>
    </row>
    <row r="5" spans="1:14" x14ac:dyDescent="0.25">
      <c r="A5" t="s">
        <v>138</v>
      </c>
      <c r="B5" s="32">
        <v>89643.527068996002</v>
      </c>
      <c r="C5" s="30">
        <v>1.1066761031166601</v>
      </c>
      <c r="D5" s="31">
        <v>9562.8221373531705</v>
      </c>
      <c r="E5" s="33">
        <v>87268.527068996002</v>
      </c>
      <c r="F5" s="30">
        <v>1.19363383530366</v>
      </c>
      <c r="G5" s="31">
        <v>16898.139597670601</v>
      </c>
      <c r="H5" s="35">
        <v>7336</v>
      </c>
      <c r="I5" s="35">
        <v>6500</v>
      </c>
      <c r="J5" s="34">
        <v>2.2369326387391602</v>
      </c>
      <c r="K5" t="b">
        <v>1</v>
      </c>
      <c r="L5" t="b">
        <v>1</v>
      </c>
      <c r="M5" t="b">
        <v>0</v>
      </c>
      <c r="N5" t="b">
        <v>0</v>
      </c>
    </row>
    <row r="6" spans="1:14" x14ac:dyDescent="0.25">
      <c r="A6" t="s">
        <v>139</v>
      </c>
      <c r="B6" s="32">
        <v>89643.527068996002</v>
      </c>
      <c r="C6" s="30">
        <v>1.1066761031166601</v>
      </c>
      <c r="D6" s="31">
        <v>9562.8221373531705</v>
      </c>
      <c r="E6" s="33">
        <v>89643.527068996002</v>
      </c>
      <c r="F6" s="30">
        <v>1.16200990827249</v>
      </c>
      <c r="G6" s="31">
        <v>14523.139597670601</v>
      </c>
      <c r="H6" s="35">
        <v>4961</v>
      </c>
      <c r="I6" s="35">
        <v>4500</v>
      </c>
      <c r="J6" s="34">
        <v>2.60274300510495</v>
      </c>
      <c r="K6" t="b">
        <v>1</v>
      </c>
      <c r="L6" t="b">
        <v>0</v>
      </c>
      <c r="M6" t="b">
        <v>0</v>
      </c>
      <c r="N6" t="b">
        <v>0</v>
      </c>
    </row>
    <row r="7" spans="1:14" x14ac:dyDescent="0.25">
      <c r="A7" t="s">
        <v>139</v>
      </c>
      <c r="B7" s="32">
        <v>89643.527068996002</v>
      </c>
      <c r="C7" s="30">
        <v>1.1066761031166601</v>
      </c>
      <c r="D7" s="31">
        <v>9562.8221373531705</v>
      </c>
      <c r="E7" s="33">
        <v>86229.464568996002</v>
      </c>
      <c r="F7" s="30">
        <v>1.20801708774752</v>
      </c>
      <c r="G7" s="31">
        <v>17937.202097670601</v>
      </c>
      <c r="H7" s="35">
        <v>8375</v>
      </c>
      <c r="I7" s="35">
        <v>9000</v>
      </c>
      <c r="J7" s="34">
        <v>2.1073520716426999</v>
      </c>
      <c r="K7" t="b">
        <v>1</v>
      </c>
      <c r="L7" t="b">
        <v>1</v>
      </c>
      <c r="M7" t="b">
        <v>1</v>
      </c>
      <c r="N7" t="b">
        <v>0</v>
      </c>
    </row>
    <row r="8" spans="1:14" x14ac:dyDescent="0.25">
      <c r="B8" s="32">
        <v>87143.527068996002</v>
      </c>
      <c r="C8" s="30">
        <v>1.13842476364082</v>
      </c>
      <c r="D8" s="31">
        <v>12062.8221373532</v>
      </c>
      <c r="E8" s="33">
        <v>87143.527068996002</v>
      </c>
      <c r="F8" s="30">
        <v>1.1953460018228601</v>
      </c>
      <c r="G8" s="31">
        <v>17023.139597670601</v>
      </c>
      <c r="H8" s="35">
        <v>4961</v>
      </c>
      <c r="I8" s="35">
        <v>7500</v>
      </c>
      <c r="J8" s="34">
        <v>2.2205069624860698</v>
      </c>
      <c r="K8" t="b">
        <v>0</v>
      </c>
      <c r="L8" t="b">
        <v>0</v>
      </c>
      <c r="M8" t="b">
        <v>0</v>
      </c>
      <c r="N8" t="b">
        <v>1</v>
      </c>
    </row>
  </sheetData>
  <mergeCells count="3">
    <mergeCell ref="I1:I2"/>
    <mergeCell ref="J1:J2"/>
    <mergeCell ref="E1:G1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EgrixButton">
          <controlPr autoLine="0" r:id="rId4">
            <anchor moveWithCells="1">
              <from>
                <xdr:col>0</xdr:col>
                <xdr:colOff>76200</xdr:colOff>
                <xdr:row>0</xdr:row>
                <xdr:rowOff>38100</xdr:rowOff>
              </from>
              <to>
                <xdr:col>0</xdr:col>
                <xdr:colOff>533400</xdr:colOff>
                <xdr:row>0</xdr:row>
                <xdr:rowOff>323850</xdr:rowOff>
              </to>
            </anchor>
          </controlPr>
        </control>
      </mc:Choice>
      <mc:Fallback>
        <control shapeId="2050" r:id="rId3" name="EgrixButto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3</vt:i4>
      </vt:variant>
      <vt:variant>
        <vt:lpstr>Именованные диапазоны</vt:lpstr>
      </vt:variant>
      <vt:variant>
        <vt:i4>27</vt:i4>
      </vt:variant>
    </vt:vector>
  </HeadingPairs>
  <TitlesOfParts>
    <vt:vector size="30" baseType="lpstr">
      <vt:lpstr>Лист1</vt:lpstr>
      <vt:lpstr>Лист2</vt:lpstr>
      <vt:lpstr>Лист3</vt:lpstr>
      <vt:lpstr>a</vt:lpstr>
      <vt:lpstr>accu</vt:lpstr>
      <vt:lpstr>b</vt:lpstr>
      <vt:lpstr>C0</vt:lpstr>
      <vt:lpstr>d</vt:lpstr>
      <vt:lpstr>effi</vt:lpstr>
      <vt:lpstr>flagB</vt:lpstr>
      <vt:lpstr>flagDut</vt:lpstr>
      <vt:lpstr>flagFrLoss</vt:lpstr>
      <vt:lpstr>flagI</vt:lpstr>
      <vt:lpstr>flagPP</vt:lpstr>
      <vt:lpstr>flagThermo</vt:lpstr>
      <vt:lpstr>h_0</vt:lpstr>
      <vt:lpstr>i</vt:lpstr>
      <vt:lpstr>k</vt:lpstr>
      <vt:lpstr>marg_sr</vt:lpstr>
      <vt:lpstr>prob</vt:lpstr>
      <vt:lpstr>q_0</vt:lpstr>
      <vt:lpstr>q_1</vt:lpstr>
      <vt:lpstr>r_0</vt:lpstr>
      <vt:lpstr>r_1</vt:lpstr>
      <vt:lpstr>rash_sr</vt:lpstr>
      <vt:lpstr>recoupment_in_month</vt:lpstr>
      <vt:lpstr>s_0</vt:lpstr>
      <vt:lpstr>srok</vt:lpstr>
      <vt:lpstr>x_k</vt:lpstr>
      <vt:lpstr>z_0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Sergei</dc:creator>
  <cp:lastModifiedBy>Sergei</cp:lastModifiedBy>
  <dcterms:created xsi:type="dcterms:W3CDTF">2015-11-28T06:23:17Z</dcterms:created>
  <dcterms:modified xsi:type="dcterms:W3CDTF">2016-01-31T22:03:50Z</dcterms:modified>
</cp:coreProperties>
</file>